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aw\Documents\master-thesis\evaluation\"/>
    </mc:Choice>
  </mc:AlternateContent>
  <xr:revisionPtr revIDLastSave="0" documentId="13_ncr:1_{AA7C0003-CC7D-4DFA-9AB7-6B72CA150791}" xr6:coauthVersionLast="47" xr6:coauthVersionMax="47" xr10:uidLastSave="{00000000-0000-0000-0000-000000000000}"/>
  <bookViews>
    <workbookView xWindow="-108" yWindow="-108" windowWidth="23256" windowHeight="12456" firstSheet="2" activeTab="3" xr2:uid="{72E58FE3-2FF7-4DAF-898B-173E722938DB}"/>
  </bookViews>
  <sheets>
    <sheet name="text2sparql-A-8B" sheetId="1" r:id="rId1"/>
    <sheet name="text2sparql-AT-8B" sheetId="4" r:id="rId2"/>
    <sheet name="text2sparql-A-70B" sheetId="2" r:id="rId3"/>
    <sheet name="text2sparql-AT-70B" sheetId="5" r:id="rId4"/>
    <sheet name="triple2text-8B" sheetId="3" r:id="rId5"/>
    <sheet name="triple2text-70B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5" l="1"/>
  <c r="F3" i="5"/>
  <c r="H3" i="5" s="1"/>
  <c r="G3" i="5"/>
  <c r="I3" i="5"/>
  <c r="F4" i="5"/>
  <c r="G4" i="5"/>
  <c r="I4" i="5"/>
  <c r="F5" i="5"/>
  <c r="G5" i="5"/>
  <c r="I5" i="5"/>
  <c r="F6" i="5"/>
  <c r="G6" i="5"/>
  <c r="I6" i="5"/>
  <c r="F7" i="5"/>
  <c r="G7" i="5"/>
  <c r="I7" i="5"/>
  <c r="F8" i="5"/>
  <c r="G8" i="5"/>
  <c r="H8" i="5" s="1"/>
  <c r="I8" i="5"/>
  <c r="F9" i="5"/>
  <c r="G9" i="5"/>
  <c r="I9" i="5"/>
  <c r="F10" i="5"/>
  <c r="G10" i="5"/>
  <c r="I10" i="5"/>
  <c r="F11" i="5"/>
  <c r="G11" i="5"/>
  <c r="I11" i="5"/>
  <c r="F12" i="5"/>
  <c r="G12" i="5"/>
  <c r="H12" i="5" s="1"/>
  <c r="I12" i="5"/>
  <c r="F13" i="5"/>
  <c r="G13" i="5"/>
  <c r="I13" i="5"/>
  <c r="F14" i="5"/>
  <c r="G14" i="5"/>
  <c r="I14" i="5"/>
  <c r="F15" i="5"/>
  <c r="H15" i="5" s="1"/>
  <c r="G15" i="5"/>
  <c r="I15" i="5"/>
  <c r="F16" i="5"/>
  <c r="G16" i="5"/>
  <c r="I16" i="5"/>
  <c r="F17" i="5"/>
  <c r="G17" i="5"/>
  <c r="I17" i="5"/>
  <c r="F18" i="5"/>
  <c r="H18" i="5" s="1"/>
  <c r="G18" i="5"/>
  <c r="I18" i="5"/>
  <c r="F19" i="5"/>
  <c r="G19" i="5"/>
  <c r="H19" i="5" s="1"/>
  <c r="I19" i="5"/>
  <c r="F20" i="5"/>
  <c r="G20" i="5"/>
  <c r="I20" i="5"/>
  <c r="F21" i="5"/>
  <c r="H21" i="5" s="1"/>
  <c r="G21" i="5"/>
  <c r="I21" i="5"/>
  <c r="F3" i="2"/>
  <c r="H3" i="2" s="1"/>
  <c r="G3" i="2"/>
  <c r="I3" i="2"/>
  <c r="F4" i="2"/>
  <c r="G4" i="2"/>
  <c r="I4" i="2"/>
  <c r="F5" i="2"/>
  <c r="G5" i="2"/>
  <c r="H5" i="2" s="1"/>
  <c r="I5" i="2"/>
  <c r="F6" i="2"/>
  <c r="G6" i="2"/>
  <c r="I6" i="2"/>
  <c r="F7" i="2"/>
  <c r="G7" i="2"/>
  <c r="I7" i="2"/>
  <c r="F8" i="2"/>
  <c r="G8" i="2"/>
  <c r="I8" i="2"/>
  <c r="F9" i="2"/>
  <c r="G9" i="2"/>
  <c r="I9" i="2"/>
  <c r="F10" i="2"/>
  <c r="G10" i="2"/>
  <c r="I10" i="2"/>
  <c r="F11" i="2"/>
  <c r="G11" i="2"/>
  <c r="I11" i="2"/>
  <c r="F12" i="2"/>
  <c r="G12" i="2"/>
  <c r="I12" i="2"/>
  <c r="F13" i="2"/>
  <c r="G13" i="2"/>
  <c r="I13" i="2"/>
  <c r="F14" i="2"/>
  <c r="G14" i="2"/>
  <c r="I14" i="2"/>
  <c r="F15" i="2"/>
  <c r="G15" i="2"/>
  <c r="I15" i="2"/>
  <c r="F16" i="2"/>
  <c r="G16" i="2"/>
  <c r="H16" i="2"/>
  <c r="I16" i="2"/>
  <c r="F17" i="2"/>
  <c r="G17" i="2"/>
  <c r="I17" i="2"/>
  <c r="F18" i="2"/>
  <c r="H18" i="2" s="1"/>
  <c r="G18" i="2"/>
  <c r="I18" i="2"/>
  <c r="F19" i="2"/>
  <c r="G19" i="2"/>
  <c r="I19" i="2"/>
  <c r="F20" i="2"/>
  <c r="G20" i="2"/>
  <c r="I20" i="2"/>
  <c r="F21" i="2"/>
  <c r="G21" i="2"/>
  <c r="I21" i="2"/>
  <c r="I2" i="5"/>
  <c r="G2" i="5"/>
  <c r="F2" i="5"/>
  <c r="I2" i="2"/>
  <c r="H2" i="2"/>
  <c r="G2" i="2"/>
  <c r="F2" i="2"/>
  <c r="H20" i="5" l="1"/>
  <c r="H17" i="5"/>
  <c r="H16" i="5"/>
  <c r="H14" i="5"/>
  <c r="H13" i="5"/>
  <c r="H10" i="5"/>
  <c r="H9" i="5"/>
  <c r="H7" i="5"/>
  <c r="H6" i="5"/>
  <c r="H5" i="5"/>
  <c r="H4" i="5"/>
  <c r="H21" i="2"/>
  <c r="H20" i="2"/>
  <c r="H19" i="2"/>
  <c r="H17" i="2"/>
  <c r="H15" i="2"/>
  <c r="H14" i="2"/>
  <c r="H13" i="2"/>
  <c r="H12" i="2"/>
  <c r="H11" i="2"/>
  <c r="H10" i="2"/>
  <c r="H9" i="2"/>
  <c r="H8" i="2"/>
  <c r="H7" i="2"/>
  <c r="H6" i="2"/>
  <c r="H4" i="2"/>
  <c r="H2" i="5"/>
</calcChain>
</file>

<file path=xl/sharedStrings.xml><?xml version="1.0" encoding="utf-8"?>
<sst xmlns="http://schemas.openxmlformats.org/spreadsheetml/2006/main" count="130" uniqueCount="74">
  <si>
    <t>id</t>
  </si>
  <si>
    <t>notes</t>
  </si>
  <si>
    <t>summary</t>
  </si>
  <si>
    <t>valid</t>
  </si>
  <si>
    <t>tp</t>
  </si>
  <si>
    <t>fp</t>
  </si>
  <si>
    <t>fn</t>
  </si>
  <si>
    <t>precision</t>
  </si>
  <si>
    <t>recall</t>
  </si>
  <si>
    <t>f1</t>
  </si>
  <si>
    <t>jaccard</t>
  </si>
  <si>
    <t>instead of comparing flight duration, compared length of flight string</t>
  </si>
  <si>
    <t>gives all pairs of flights where the duration of the first flight is smaller than the second</t>
  </si>
  <si>
    <t>missing curly brackets after WHERE, after the addition becomes valid</t>
  </si>
  <si>
    <t>given iris missing, hallucinate iris
no given prefixes, hallucinate prefixes</t>
  </si>
  <si>
    <t>given iris missing
no given prefixes, hallucinate prefixes
failed to use SUM operator
invalid syntax</t>
  </si>
  <si>
    <t>given iris missing
no given prefixes, hallucinate prefixes
misunderstood question</t>
  </si>
  <si>
    <t>given iris missing, hallucinate iris
no given prefixes, hallucinate prefixes
wrong sparql representation of  question semantics</t>
  </si>
  <si>
    <t>given iris missing, hallucinate iris
no given prefixes, hallucinate prefixes
misunderstood question</t>
  </si>
  <si>
    <t>correct question understanding, but hallucinates iris</t>
  </si>
  <si>
    <t>given iris missing, hallucinate iris
no given prefixes, hallucinate prefixes
understands question correctly (+)</t>
  </si>
  <si>
    <t>misunderstood. Question asks for shorter interval while the query looks for filingtime&gt;departuretime</t>
  </si>
  <si>
    <t>correct question understanding, but hallucinates iri</t>
  </si>
  <si>
    <t>use of BIND on query variable. Correct question understanding</t>
  </si>
  <si>
    <t>given iris missing
no given prefixes, hallucinate prefixes
uses = operator
invalid syntax</t>
  </si>
  <si>
    <t>correct understanding of question, but no understanding of graph structure</t>
  </si>
  <si>
    <t>multiple syntax errors with union and bind, missing prefix definition for a prefix used in the query</t>
  </si>
  <si>
    <t>invalid syntax</t>
  </si>
  <si>
    <t>given iris missing, hallucinate iris
no given prefixes, hallucinate prefixes
invalid syntax</t>
  </si>
  <si>
    <t>given iris missing, hallucinate iris
no given prefixes, hallucinate prefixes
understands question correctly (+)
invalid syntax</t>
  </si>
  <si>
    <t>missing groupby for route1 and route2 at the end of query</t>
  </si>
  <si>
    <t>used undefined ST_LN statement</t>
  </si>
  <si>
    <t xml:space="preserve"> </t>
  </si>
  <si>
    <t>understood question, but did not follow instruction to give relevant triples and tries to answer directly with query</t>
  </si>
  <si>
    <t>good understanding of question, followed instruction</t>
  </si>
  <si>
    <t>understood question, but without reference to the actual graph structure</t>
  </si>
  <si>
    <t>used correct flight IRI, but hallucinates an attribute</t>
  </si>
  <si>
    <t>given iris missing, hallucinate iris
no given prefixes, hallucinate prefixes
only one that gets the flight IRI correct</t>
  </si>
  <si>
    <t>missing prefix definition for prefix used in query</t>
  </si>
  <si>
    <t>given iris missing, hallucinate iris
no given prefixes, hallucinate prefixes
only one that gets the flight IRI correct
misunderstood question</t>
  </si>
  <si>
    <t>understood question well</t>
  </si>
  <si>
    <t>given iris missing, hallucinate iris
no given prefixes, hallucinate prefixes
understood question but hallucinating iris</t>
  </si>
  <si>
    <t>makes up non existing attribute from the graph. All answers above create attribute that does exist but wrong name. this one completely makes it up</t>
  </si>
  <si>
    <t>missing groupby for flight2, wrong BIND usage, filter placement</t>
  </si>
  <si>
    <t>invalid syntax, wild mistakes</t>
  </si>
  <si>
    <t>indentation errors</t>
  </si>
  <si>
    <t>understood question, wrong use of IRI</t>
  </si>
  <si>
    <t>hallucinated prefix and iri</t>
  </si>
  <si>
    <t>correct attributes, however wrong prefixes</t>
  </si>
  <si>
    <t>understood question, accurate attributes, wrong prefix</t>
  </si>
  <si>
    <t>understood question, wrong prefix and lack graph understanding</t>
  </si>
  <si>
    <t>correct attributes, however wrong prefix definition</t>
  </si>
  <si>
    <t>formatting error, due to indentation \"\"\n</t>
  </si>
  <si>
    <t>formatting error</t>
  </si>
  <si>
    <t>used prefix not defined</t>
  </si>
  <si>
    <t>wrong use of BIND</t>
  </si>
  <si>
    <t>syntax error</t>
  </si>
  <si>
    <t>hallucinate num_flight_attendants non existent attribute</t>
  </si>
  <si>
    <t>correct answer, but unnecessary LIMIT actually hiding necessary triples</t>
  </si>
  <si>
    <t>correct answer, see notes</t>
  </si>
  <si>
    <t>correct use of sum operator, correct answer</t>
  </si>
  <si>
    <t>correct answer, even directly presented duration difference</t>
  </si>
  <si>
    <t>undefined xsd prefix
when corrected, still didn’t return triples because it assumed planFilingTime is attached to Flights</t>
  </si>
  <si>
    <t>got wrong attribute aircraftTypeFlown instead of aircraftFlown</t>
  </si>
  <si>
    <t>perfect understanding</t>
  </si>
  <si>
    <t>used non-standard BINDINGS statement
correct triples are retrieved, but presented in wrong way.</t>
  </si>
  <si>
    <t>aggregate expression error
wrong prefix #gen instead of #general</t>
  </si>
  <si>
    <t>partially available results. Cant detect</t>
  </si>
  <si>
    <t>LIMIT statement actually hides the correct answer, although it has been correctly retrieved</t>
  </si>
  <si>
    <t>count within bind, syntax error
move count to select statement and group by flight</t>
  </si>
  <si>
    <t>unresloved prefix:geof
thought lat lon coordinates are connected to SequencedItem</t>
  </si>
  <si>
    <t>assumed that nas:locatedInState is followed by nas:locatedInCountry (doesn’t exist)</t>
  </si>
  <si>
    <t>assumed that nas:locatedInState is followed by nas:locatedInCountry (doesn’t exist)
exact same query formulation as A70B</t>
  </si>
  <si>
    <t>exact query as A70B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</si>
</sst>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15D7C-37A4-4D87-9959-FB475F771A87}">
  <dimension ref="A1:K21"/>
  <sheetViews>
    <sheetView topLeftCell="A3" workbookViewId="0">
      <selection activeCell="C5" sqref="C5"/>
    </sheetView>
  </sheetViews>
  <sheetFormatPr defaultRowHeight="14.4" x14ac:dyDescent="0.3"/>
  <cols>
    <col min="3" max="3" width="39" customWidth="1"/>
    <col min="4" max="4" width="35.44140625" customWidth="1"/>
    <col min="10" max="10" width="49.5546875" style="1" customWidth="1"/>
    <col min="11" max="11" width="55" style="1" customWidth="1"/>
  </cols>
  <sheetData>
    <row r="1" spans="1:4" x14ac:dyDescent="0.3">
      <c r="A1" t="s">
        <v>0</v>
      </c>
      <c r="B1" t="s">
        <v>3</v>
      </c>
      <c r="C1" s="1" t="s">
        <v>1</v>
      </c>
      <c r="D1" s="1" t="s">
        <v>2</v>
      </c>
    </row>
    <row r="2" spans="1:4" ht="216" x14ac:dyDescent="0.3">
      <c r="A2">
        <v>1</v>
      </c>
      <c r="B2">
        <v>1</v>
      </c>
      <c r="C2" s="1" t="s">
        <v>12</v>
      </c>
      <c r="D2" s="1" t="s">
        <v>17</v>
      </c>
    </row>
    <row r="3" spans="1:4" ht="158.4" x14ac:dyDescent="0.3">
      <c r="A3">
        <v>2</v>
      </c>
      <c r="B3">
        <v>1</v>
      </c>
      <c r="C3" s="1" t="s">
        <v>11</v>
      </c>
      <c r="D3" s="1" t="s">
        <v>18</v>
      </c>
    </row>
    <row r="4" spans="1:4" ht="158.4" x14ac:dyDescent="0.3">
      <c r="A4">
        <v>3</v>
      </c>
      <c r="B4">
        <v>0</v>
      </c>
      <c r="C4" s="1" t="s">
        <v>13</v>
      </c>
      <c r="D4" s="1" t="s">
        <v>15</v>
      </c>
    </row>
    <row r="5" spans="1:4" ht="43.2" x14ac:dyDescent="0.3">
      <c r="A5">
        <v>4</v>
      </c>
      <c r="B5">
        <v>1</v>
      </c>
      <c r="C5" s="1" t="s">
        <v>19</v>
      </c>
      <c r="D5" s="1" t="s">
        <v>20</v>
      </c>
    </row>
    <row r="6" spans="1:4" ht="43.2" x14ac:dyDescent="0.3">
      <c r="A6">
        <v>5</v>
      </c>
      <c r="B6">
        <v>1</v>
      </c>
      <c r="C6" s="1" t="s">
        <v>19</v>
      </c>
      <c r="D6" s="1" t="s">
        <v>20</v>
      </c>
    </row>
    <row r="7" spans="1:4" ht="43.2" x14ac:dyDescent="0.3">
      <c r="A7">
        <v>6</v>
      </c>
      <c r="B7">
        <v>1</v>
      </c>
      <c r="C7" s="1" t="s">
        <v>21</v>
      </c>
      <c r="D7" s="1" t="s">
        <v>16</v>
      </c>
    </row>
    <row r="8" spans="1:4" ht="43.2" x14ac:dyDescent="0.3">
      <c r="A8">
        <v>7</v>
      </c>
      <c r="B8">
        <v>1</v>
      </c>
      <c r="C8" s="1" t="s">
        <v>22</v>
      </c>
      <c r="D8" s="1" t="s">
        <v>20</v>
      </c>
    </row>
    <row r="9" spans="1:4" ht="57.6" x14ac:dyDescent="0.3">
      <c r="A9">
        <v>8</v>
      </c>
      <c r="B9">
        <v>0</v>
      </c>
      <c r="C9" s="1" t="s">
        <v>23</v>
      </c>
      <c r="D9" s="1" t="s">
        <v>24</v>
      </c>
    </row>
    <row r="10" spans="1:4" ht="57.6" x14ac:dyDescent="0.3">
      <c r="A10">
        <v>9</v>
      </c>
      <c r="B10">
        <v>1</v>
      </c>
      <c r="C10" s="1" t="s">
        <v>25</v>
      </c>
      <c r="D10" s="1" t="s">
        <v>29</v>
      </c>
    </row>
    <row r="11" spans="1:4" ht="43.2" x14ac:dyDescent="0.3">
      <c r="A11">
        <v>10</v>
      </c>
      <c r="B11">
        <v>0</v>
      </c>
      <c r="C11" s="1" t="s">
        <v>26</v>
      </c>
      <c r="D11" s="1" t="s">
        <v>28</v>
      </c>
    </row>
    <row r="12" spans="1:4" ht="43.2" x14ac:dyDescent="0.3">
      <c r="A12">
        <v>11</v>
      </c>
      <c r="B12">
        <v>0</v>
      </c>
      <c r="C12" s="1" t="s">
        <v>30</v>
      </c>
      <c r="D12" s="1" t="s">
        <v>28</v>
      </c>
    </row>
    <row r="13" spans="1:4" ht="43.2" x14ac:dyDescent="0.3">
      <c r="A13">
        <v>12</v>
      </c>
      <c r="B13">
        <v>0</v>
      </c>
      <c r="C13" s="1" t="s">
        <v>31</v>
      </c>
      <c r="D13" s="1" t="s">
        <v>28</v>
      </c>
    </row>
    <row r="14" spans="1:4" ht="43.2" x14ac:dyDescent="0.3">
      <c r="A14">
        <v>13</v>
      </c>
      <c r="B14">
        <v>1</v>
      </c>
      <c r="C14" s="1" t="s">
        <v>33</v>
      </c>
      <c r="D14" s="1" t="s">
        <v>14</v>
      </c>
    </row>
    <row r="15" spans="1:4" ht="28.8" x14ac:dyDescent="0.3">
      <c r="A15">
        <v>14</v>
      </c>
      <c r="B15">
        <v>1</v>
      </c>
      <c r="C15" s="1" t="s">
        <v>34</v>
      </c>
      <c r="D15" s="1" t="s">
        <v>14</v>
      </c>
    </row>
    <row r="16" spans="1:4" ht="28.8" x14ac:dyDescent="0.3">
      <c r="A16">
        <v>15</v>
      </c>
      <c r="B16">
        <v>1</v>
      </c>
      <c r="C16" s="1" t="s">
        <v>35</v>
      </c>
      <c r="D16" s="1" t="s">
        <v>14</v>
      </c>
    </row>
    <row r="17" spans="1:6" ht="43.2" x14ac:dyDescent="0.3">
      <c r="A17">
        <v>16</v>
      </c>
      <c r="B17">
        <v>1</v>
      </c>
      <c r="C17" s="1" t="s">
        <v>36</v>
      </c>
      <c r="D17" s="1" t="s">
        <v>37</v>
      </c>
    </row>
    <row r="18" spans="1:6" ht="57.6" x14ac:dyDescent="0.3">
      <c r="A18">
        <v>17</v>
      </c>
      <c r="B18">
        <v>0</v>
      </c>
      <c r="C18" s="1" t="s">
        <v>38</v>
      </c>
      <c r="D18" s="1" t="s">
        <v>39</v>
      </c>
      <c r="F18" t="s">
        <v>32</v>
      </c>
    </row>
    <row r="19" spans="1:6" ht="28.8" x14ac:dyDescent="0.3">
      <c r="A19">
        <v>18</v>
      </c>
      <c r="B19">
        <v>1</v>
      </c>
      <c r="C19" s="1" t="s">
        <v>40</v>
      </c>
      <c r="D19" s="1" t="s">
        <v>14</v>
      </c>
    </row>
    <row r="20" spans="1:6" ht="43.2" x14ac:dyDescent="0.3">
      <c r="A20">
        <v>19</v>
      </c>
      <c r="B20">
        <v>0</v>
      </c>
      <c r="C20" s="1" t="s">
        <v>38</v>
      </c>
      <c r="D20" s="1" t="s">
        <v>41</v>
      </c>
    </row>
    <row r="21" spans="1:6" ht="57.6" x14ac:dyDescent="0.3">
      <c r="A21">
        <v>20</v>
      </c>
      <c r="B21">
        <v>1</v>
      </c>
      <c r="C21" s="1" t="s">
        <v>42</v>
      </c>
      <c r="D21" s="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35E2-BA68-47B0-92AC-3A698656F9F9}">
  <dimension ref="A1:D21"/>
  <sheetViews>
    <sheetView topLeftCell="A5" workbookViewId="0">
      <selection activeCell="D22" sqref="D22"/>
    </sheetView>
  </sheetViews>
  <sheetFormatPr defaultRowHeight="14.4" x14ac:dyDescent="0.3"/>
  <cols>
    <col min="3" max="3" width="50.77734375" customWidth="1"/>
    <col min="4" max="4" width="34.77734375" customWidth="1"/>
    <col min="10" max="10" width="46.5546875" bestFit="1" customWidth="1"/>
  </cols>
  <sheetData>
    <row r="1" spans="1:4" x14ac:dyDescent="0.3">
      <c r="A1" s="1" t="s">
        <v>0</v>
      </c>
      <c r="B1" s="1" t="s">
        <v>3</v>
      </c>
      <c r="C1" s="1" t="s">
        <v>1</v>
      </c>
      <c r="D1" s="1" t="s">
        <v>2</v>
      </c>
    </row>
    <row r="2" spans="1:4" ht="28.8" x14ac:dyDescent="0.3">
      <c r="A2" s="1">
        <v>1</v>
      </c>
      <c r="B2" s="1">
        <v>0</v>
      </c>
      <c r="C2" s="1" t="s">
        <v>43</v>
      </c>
      <c r="D2" s="1" t="s">
        <v>44</v>
      </c>
    </row>
    <row r="3" spans="1:4" x14ac:dyDescent="0.3">
      <c r="A3" s="1">
        <v>2</v>
      </c>
      <c r="B3" s="1">
        <v>0</v>
      </c>
      <c r="C3" s="1" t="s">
        <v>45</v>
      </c>
      <c r="D3" s="1" t="s">
        <v>27</v>
      </c>
    </row>
    <row r="4" spans="1:4" x14ac:dyDescent="0.3">
      <c r="A4" s="1">
        <v>3</v>
      </c>
      <c r="B4" s="1">
        <v>1</v>
      </c>
      <c r="C4" s="1" t="s">
        <v>47</v>
      </c>
      <c r="D4" s="1" t="s">
        <v>46</v>
      </c>
    </row>
    <row r="5" spans="1:4" ht="28.8" x14ac:dyDescent="0.3">
      <c r="A5" s="1">
        <v>4</v>
      </c>
      <c r="B5" s="1">
        <v>1</v>
      </c>
      <c r="C5" s="1" t="s">
        <v>48</v>
      </c>
      <c r="D5" s="1" t="s">
        <v>49</v>
      </c>
    </row>
    <row r="6" spans="1:4" ht="28.8" x14ac:dyDescent="0.3">
      <c r="A6" s="1">
        <v>5</v>
      </c>
      <c r="B6" s="1">
        <v>0</v>
      </c>
      <c r="C6" s="1" t="s">
        <v>45</v>
      </c>
      <c r="D6" s="1" t="s">
        <v>50</v>
      </c>
    </row>
    <row r="7" spans="1:4" ht="28.8" x14ac:dyDescent="0.3">
      <c r="A7" s="1">
        <v>6</v>
      </c>
      <c r="B7" s="1">
        <v>1</v>
      </c>
      <c r="C7" s="1" t="s">
        <v>51</v>
      </c>
      <c r="D7" s="1" t="s">
        <v>49</v>
      </c>
    </row>
    <row r="8" spans="1:4" x14ac:dyDescent="0.3">
      <c r="A8" s="1">
        <v>7</v>
      </c>
      <c r="B8" s="1">
        <v>0</v>
      </c>
      <c r="C8" s="1" t="s">
        <v>52</v>
      </c>
      <c r="D8" s="1" t="s">
        <v>53</v>
      </c>
    </row>
    <row r="9" spans="1:4" ht="28.8" x14ac:dyDescent="0.3">
      <c r="A9" s="1">
        <v>8</v>
      </c>
      <c r="B9" s="1">
        <v>1</v>
      </c>
      <c r="C9" s="1"/>
      <c r="D9" s="1" t="s">
        <v>50</v>
      </c>
    </row>
    <row r="10" spans="1:4" x14ac:dyDescent="0.3">
      <c r="A10" s="1">
        <v>9</v>
      </c>
      <c r="B10" s="1">
        <v>0</v>
      </c>
      <c r="C10" s="1" t="s">
        <v>52</v>
      </c>
      <c r="D10" s="1" t="s">
        <v>53</v>
      </c>
    </row>
    <row r="11" spans="1:4" x14ac:dyDescent="0.3">
      <c r="A11" s="1">
        <v>10</v>
      </c>
      <c r="B11" s="1">
        <v>0</v>
      </c>
      <c r="C11" s="1" t="s">
        <v>52</v>
      </c>
      <c r="D11" s="1" t="s">
        <v>53</v>
      </c>
    </row>
    <row r="12" spans="1:4" x14ac:dyDescent="0.3">
      <c r="A12" s="1">
        <v>11</v>
      </c>
      <c r="B12" s="1">
        <v>0</v>
      </c>
      <c r="C12" s="1" t="s">
        <v>54</v>
      </c>
      <c r="D12" s="1" t="s">
        <v>54</v>
      </c>
    </row>
    <row r="13" spans="1:4" x14ac:dyDescent="0.3">
      <c r="A13" s="1">
        <v>12</v>
      </c>
      <c r="B13" s="1">
        <v>0</v>
      </c>
      <c r="C13" s="1" t="s">
        <v>52</v>
      </c>
      <c r="D13" s="1" t="s">
        <v>53</v>
      </c>
    </row>
    <row r="14" spans="1:4" x14ac:dyDescent="0.3">
      <c r="A14" s="1">
        <v>13</v>
      </c>
      <c r="B14" s="1">
        <v>0</v>
      </c>
      <c r="C14" s="1" t="s">
        <v>52</v>
      </c>
      <c r="D14" s="1" t="s">
        <v>53</v>
      </c>
    </row>
    <row r="15" spans="1:4" x14ac:dyDescent="0.3">
      <c r="A15" s="1">
        <v>14</v>
      </c>
      <c r="B15" s="1">
        <v>0</v>
      </c>
      <c r="C15" s="1" t="s">
        <v>52</v>
      </c>
      <c r="D15" s="1" t="s">
        <v>53</v>
      </c>
    </row>
    <row r="16" spans="1:4" ht="28.8" x14ac:dyDescent="0.3">
      <c r="A16" s="1">
        <v>15</v>
      </c>
      <c r="B16" s="1">
        <v>1</v>
      </c>
      <c r="C16" s="1"/>
      <c r="D16" s="1" t="s">
        <v>50</v>
      </c>
    </row>
    <row r="17" spans="1:4" ht="28.8" x14ac:dyDescent="0.3">
      <c r="A17" s="1">
        <v>16</v>
      </c>
      <c r="B17" s="1">
        <v>0</v>
      </c>
      <c r="C17" s="1" t="s">
        <v>54</v>
      </c>
      <c r="D17" s="1" t="s">
        <v>50</v>
      </c>
    </row>
    <row r="18" spans="1:4" ht="28.8" x14ac:dyDescent="0.3">
      <c r="A18" s="1">
        <v>17</v>
      </c>
      <c r="B18" s="1">
        <v>1</v>
      </c>
      <c r="C18" s="1"/>
      <c r="D18" s="1" t="s">
        <v>50</v>
      </c>
    </row>
    <row r="19" spans="1:4" ht="28.8" x14ac:dyDescent="0.3">
      <c r="A19" s="1">
        <v>18</v>
      </c>
      <c r="B19" s="1">
        <v>1</v>
      </c>
      <c r="C19" s="1"/>
      <c r="D19" s="1" t="s">
        <v>50</v>
      </c>
    </row>
    <row r="20" spans="1:4" x14ac:dyDescent="0.3">
      <c r="A20" s="1">
        <v>19</v>
      </c>
      <c r="B20" s="1">
        <v>0</v>
      </c>
      <c r="C20" s="1" t="s">
        <v>55</v>
      </c>
      <c r="D20" s="1" t="s">
        <v>56</v>
      </c>
    </row>
    <row r="21" spans="1:4" x14ac:dyDescent="0.3">
      <c r="A21" s="1">
        <v>20</v>
      </c>
      <c r="B21" s="1">
        <v>1</v>
      </c>
      <c r="C21" s="1" t="s">
        <v>57</v>
      </c>
      <c r="D21" s="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EF29-B8E9-4296-A470-F52766227C71}">
  <dimension ref="A1:K21"/>
  <sheetViews>
    <sheetView topLeftCell="A7" workbookViewId="0">
      <selection activeCell="D24" sqref="D24"/>
    </sheetView>
  </sheetViews>
  <sheetFormatPr defaultRowHeight="14.4" x14ac:dyDescent="0.3"/>
  <cols>
    <col min="10" max="10" width="52.6640625" customWidth="1"/>
    <col min="11" max="11" width="22" bestFit="1" customWidth="1"/>
  </cols>
  <sheetData>
    <row r="1" spans="1:11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</v>
      </c>
      <c r="K1" s="1" t="s">
        <v>2</v>
      </c>
    </row>
    <row r="2" spans="1:11" ht="28.8" x14ac:dyDescent="0.3">
      <c r="A2" s="1">
        <v>1</v>
      </c>
      <c r="B2" s="1">
        <v>1</v>
      </c>
      <c r="C2" s="1">
        <v>4</v>
      </c>
      <c r="D2" s="1">
        <v>0</v>
      </c>
      <c r="E2" s="1">
        <v>0</v>
      </c>
      <c r="F2" s="1">
        <f>C2/(C2+D2)</f>
        <v>1</v>
      </c>
      <c r="G2" s="1">
        <f>C2/(C2+E2)</f>
        <v>1</v>
      </c>
      <c r="H2" s="1">
        <f>2*(F2*G2)/(F2+G2)</f>
        <v>1</v>
      </c>
      <c r="I2" s="1">
        <f>C2/(C2+D2+E2)</f>
        <v>1</v>
      </c>
      <c r="J2" s="1" t="s">
        <v>58</v>
      </c>
      <c r="K2" s="1" t="s">
        <v>59</v>
      </c>
    </row>
    <row r="3" spans="1:11" ht="28.8" x14ac:dyDescent="0.3">
      <c r="A3" s="1">
        <v>2</v>
      </c>
      <c r="B3" s="1">
        <v>1</v>
      </c>
      <c r="C3" s="1">
        <v>6</v>
      </c>
      <c r="D3" s="1">
        <v>0</v>
      </c>
      <c r="E3" s="1">
        <v>0</v>
      </c>
      <c r="F3" s="1">
        <f t="shared" ref="F3:F21" si="0">C3/(C3+D3)</f>
        <v>1</v>
      </c>
      <c r="G3" s="1">
        <f t="shared" ref="G3:G21" si="1">C3/(C3+E3)</f>
        <v>1</v>
      </c>
      <c r="H3" s="1">
        <f t="shared" ref="H3:H21" si="2">2*(F3*G3)/(F3+G3)</f>
        <v>1</v>
      </c>
      <c r="I3" s="1">
        <f t="shared" ref="I3:I21" si="3">C3/(C3+D3+E3)</f>
        <v>1</v>
      </c>
      <c r="J3" s="1" t="s">
        <v>61</v>
      </c>
      <c r="K3" s="1"/>
    </row>
    <row r="4" spans="1:11" x14ac:dyDescent="0.3">
      <c r="A4" s="1">
        <v>3</v>
      </c>
      <c r="B4" s="1">
        <v>1</v>
      </c>
      <c r="C4" s="1">
        <v>6</v>
      </c>
      <c r="D4" s="1">
        <v>0</v>
      </c>
      <c r="E4" s="1">
        <v>0</v>
      </c>
      <c r="F4" s="1">
        <f t="shared" si="0"/>
        <v>1</v>
      </c>
      <c r="G4" s="1">
        <f t="shared" si="1"/>
        <v>1</v>
      </c>
      <c r="H4" s="1">
        <f t="shared" si="2"/>
        <v>1</v>
      </c>
      <c r="I4" s="1">
        <f t="shared" si="3"/>
        <v>1</v>
      </c>
      <c r="J4" s="1" t="s">
        <v>60</v>
      </c>
      <c r="K4" s="1"/>
    </row>
    <row r="5" spans="1:11" x14ac:dyDescent="0.3">
      <c r="A5" s="1">
        <v>4</v>
      </c>
      <c r="B5" s="1">
        <v>1</v>
      </c>
      <c r="C5" s="1">
        <v>2</v>
      </c>
      <c r="D5" s="1">
        <v>0</v>
      </c>
      <c r="E5" s="1">
        <v>0</v>
      </c>
      <c r="F5" s="1">
        <f t="shared" si="0"/>
        <v>1</v>
      </c>
      <c r="G5" s="1">
        <f t="shared" si="1"/>
        <v>1</v>
      </c>
      <c r="H5" s="1">
        <f t="shared" si="2"/>
        <v>1</v>
      </c>
      <c r="I5" s="1">
        <f t="shared" si="3"/>
        <v>1</v>
      </c>
      <c r="J5" s="1"/>
      <c r="K5" s="1"/>
    </row>
    <row r="6" spans="1:11" x14ac:dyDescent="0.3">
      <c r="A6" s="1">
        <v>5</v>
      </c>
      <c r="B6" s="1">
        <v>1</v>
      </c>
      <c r="C6" s="1">
        <v>5</v>
      </c>
      <c r="D6" s="1">
        <v>0</v>
      </c>
      <c r="E6" s="1">
        <v>0</v>
      </c>
      <c r="F6" s="1">
        <f t="shared" si="0"/>
        <v>1</v>
      </c>
      <c r="G6" s="1">
        <f t="shared" si="1"/>
        <v>1</v>
      </c>
      <c r="H6" s="1">
        <f t="shared" si="2"/>
        <v>1</v>
      </c>
      <c r="I6" s="1">
        <f t="shared" si="3"/>
        <v>1</v>
      </c>
      <c r="J6" s="1"/>
      <c r="K6" s="1"/>
    </row>
    <row r="7" spans="1:11" ht="43.2" x14ac:dyDescent="0.3">
      <c r="A7" s="1">
        <v>6</v>
      </c>
      <c r="B7" s="1">
        <v>0</v>
      </c>
      <c r="C7" s="1">
        <v>4</v>
      </c>
      <c r="D7" s="1">
        <v>2</v>
      </c>
      <c r="E7" s="1">
        <v>2</v>
      </c>
      <c r="F7" s="1">
        <f t="shared" si="0"/>
        <v>0.66666666666666663</v>
      </c>
      <c r="G7" s="1">
        <f t="shared" si="1"/>
        <v>0.66666666666666663</v>
      </c>
      <c r="H7" s="1">
        <f t="shared" si="2"/>
        <v>0.66666666666666663</v>
      </c>
      <c r="I7" s="1">
        <f t="shared" si="3"/>
        <v>0.5</v>
      </c>
      <c r="J7" s="1" t="s">
        <v>62</v>
      </c>
      <c r="K7" s="1"/>
    </row>
    <row r="8" spans="1:11" ht="28.8" x14ac:dyDescent="0.3">
      <c r="A8" s="1">
        <v>7</v>
      </c>
      <c r="B8" s="1">
        <v>1</v>
      </c>
      <c r="C8" s="1">
        <v>2</v>
      </c>
      <c r="D8" s="1">
        <v>4</v>
      </c>
      <c r="E8" s="1">
        <v>4</v>
      </c>
      <c r="F8" s="1">
        <f t="shared" si="0"/>
        <v>0.33333333333333331</v>
      </c>
      <c r="G8" s="1">
        <f t="shared" si="1"/>
        <v>0.33333333333333331</v>
      </c>
      <c r="H8" s="1">
        <f t="shared" si="2"/>
        <v>0.33333333333333331</v>
      </c>
      <c r="I8" s="1">
        <f t="shared" si="3"/>
        <v>0.2</v>
      </c>
      <c r="J8" s="1" t="s">
        <v>63</v>
      </c>
      <c r="K8" s="1"/>
    </row>
    <row r="9" spans="1:11" x14ac:dyDescent="0.3">
      <c r="A9" s="1">
        <v>8</v>
      </c>
      <c r="B9" s="1">
        <v>1</v>
      </c>
      <c r="C9" s="1">
        <v>6</v>
      </c>
      <c r="D9" s="1">
        <v>0</v>
      </c>
      <c r="E9" s="1">
        <v>0</v>
      </c>
      <c r="F9" s="1">
        <f t="shared" si="0"/>
        <v>1</v>
      </c>
      <c r="G9" s="1">
        <f t="shared" si="1"/>
        <v>1</v>
      </c>
      <c r="H9" s="1">
        <f t="shared" si="2"/>
        <v>1</v>
      </c>
      <c r="I9" s="1">
        <f t="shared" si="3"/>
        <v>1</v>
      </c>
      <c r="J9" s="1" t="s">
        <v>64</v>
      </c>
      <c r="K9" s="1"/>
    </row>
    <row r="10" spans="1:11" ht="28.8" x14ac:dyDescent="0.3">
      <c r="A10" s="1">
        <v>9</v>
      </c>
      <c r="B10" s="1">
        <v>0</v>
      </c>
      <c r="C10" s="1">
        <v>6</v>
      </c>
      <c r="D10" s="1">
        <v>0</v>
      </c>
      <c r="E10" s="1">
        <v>0</v>
      </c>
      <c r="F10" s="1">
        <f t="shared" si="0"/>
        <v>1</v>
      </c>
      <c r="G10" s="1">
        <f t="shared" si="1"/>
        <v>1</v>
      </c>
      <c r="H10" s="1">
        <f t="shared" si="2"/>
        <v>1</v>
      </c>
      <c r="I10" s="1">
        <f t="shared" si="3"/>
        <v>1</v>
      </c>
      <c r="J10" s="1" t="s">
        <v>65</v>
      </c>
      <c r="K10" s="1"/>
    </row>
    <row r="11" spans="1:11" x14ac:dyDescent="0.3">
      <c r="A11" s="1">
        <v>10</v>
      </c>
      <c r="B11" s="1">
        <v>1</v>
      </c>
      <c r="C11" s="1">
        <v>6</v>
      </c>
      <c r="D11" s="1">
        <v>0</v>
      </c>
      <c r="E11" s="1">
        <v>0</v>
      </c>
      <c r="F11" s="1">
        <f t="shared" si="0"/>
        <v>1</v>
      </c>
      <c r="G11" s="1">
        <f t="shared" si="1"/>
        <v>1</v>
      </c>
      <c r="H11" s="1">
        <f t="shared" si="2"/>
        <v>1</v>
      </c>
      <c r="I11" s="1">
        <f t="shared" si="3"/>
        <v>1</v>
      </c>
      <c r="J11" s="1"/>
      <c r="K11" s="1"/>
    </row>
    <row r="12" spans="1:11" ht="28.8" x14ac:dyDescent="0.3">
      <c r="A12" s="1">
        <v>11</v>
      </c>
      <c r="B12" s="1">
        <v>0</v>
      </c>
      <c r="C12" s="1">
        <v>27</v>
      </c>
      <c r="D12" s="1">
        <v>0</v>
      </c>
      <c r="E12" s="1">
        <v>0</v>
      </c>
      <c r="F12" s="1">
        <f t="shared" si="0"/>
        <v>1</v>
      </c>
      <c r="G12" s="1">
        <f t="shared" si="1"/>
        <v>1</v>
      </c>
      <c r="H12" s="1">
        <f t="shared" si="2"/>
        <v>1</v>
      </c>
      <c r="I12" s="1">
        <f t="shared" si="3"/>
        <v>1</v>
      </c>
      <c r="J12" s="1" t="s">
        <v>66</v>
      </c>
      <c r="K12" s="1"/>
    </row>
    <row r="13" spans="1:11" x14ac:dyDescent="0.3">
      <c r="A13" s="1">
        <v>12</v>
      </c>
      <c r="B13" s="1">
        <v>1</v>
      </c>
      <c r="C13" s="1">
        <v>18</v>
      </c>
      <c r="D13" s="1">
        <v>0</v>
      </c>
      <c r="E13" s="1">
        <v>0</v>
      </c>
      <c r="F13" s="1">
        <f t="shared" si="0"/>
        <v>1</v>
      </c>
      <c r="G13" s="1">
        <f t="shared" si="1"/>
        <v>1</v>
      </c>
      <c r="H13" s="1">
        <f t="shared" si="2"/>
        <v>1</v>
      </c>
      <c r="I13" s="1">
        <f t="shared" si="3"/>
        <v>1</v>
      </c>
      <c r="J13" s="1"/>
      <c r="K13" s="1"/>
    </row>
    <row r="14" spans="1:11" x14ac:dyDescent="0.3">
      <c r="A14" s="1">
        <v>13</v>
      </c>
      <c r="B14" s="1">
        <v>1</v>
      </c>
      <c r="C14" s="1">
        <v>4</v>
      </c>
      <c r="D14" s="1">
        <v>0</v>
      </c>
      <c r="E14" s="1">
        <v>0</v>
      </c>
      <c r="F14" s="1">
        <f t="shared" si="0"/>
        <v>1</v>
      </c>
      <c r="G14" s="1">
        <f t="shared" si="1"/>
        <v>1</v>
      </c>
      <c r="H14" s="1">
        <f t="shared" si="2"/>
        <v>1</v>
      </c>
      <c r="I14" s="1">
        <f t="shared" si="3"/>
        <v>1</v>
      </c>
      <c r="J14" s="1"/>
      <c r="K14" s="1"/>
    </row>
    <row r="15" spans="1:11" ht="28.8" x14ac:dyDescent="0.3">
      <c r="A15" s="1">
        <v>14</v>
      </c>
      <c r="B15" s="1">
        <v>1</v>
      </c>
      <c r="C15" s="1">
        <v>6</v>
      </c>
      <c r="D15" s="1">
        <v>2</v>
      </c>
      <c r="E15" s="1">
        <v>0</v>
      </c>
      <c r="F15" s="1">
        <f t="shared" si="0"/>
        <v>0.75</v>
      </c>
      <c r="G15" s="1">
        <f t="shared" si="1"/>
        <v>1</v>
      </c>
      <c r="H15" s="1">
        <f t="shared" si="2"/>
        <v>0.8571428571428571</v>
      </c>
      <c r="I15" s="1">
        <f t="shared" si="3"/>
        <v>0.75</v>
      </c>
      <c r="J15" s="1" t="s">
        <v>71</v>
      </c>
      <c r="K15" s="1"/>
    </row>
    <row r="16" spans="1:11" x14ac:dyDescent="0.3">
      <c r="A16" s="1">
        <v>15</v>
      </c>
      <c r="B16" s="1">
        <v>1</v>
      </c>
      <c r="C16" s="1">
        <v>3</v>
      </c>
      <c r="D16" s="1">
        <v>0</v>
      </c>
      <c r="E16" s="1">
        <v>0</v>
      </c>
      <c r="F16" s="1">
        <f t="shared" si="0"/>
        <v>1</v>
      </c>
      <c r="G16" s="1">
        <f t="shared" si="1"/>
        <v>1</v>
      </c>
      <c r="H16" s="1">
        <f t="shared" si="2"/>
        <v>1</v>
      </c>
      <c r="I16" s="1">
        <f t="shared" si="3"/>
        <v>1</v>
      </c>
      <c r="J16" s="1"/>
      <c r="K16" s="1"/>
    </row>
    <row r="17" spans="1:11" x14ac:dyDescent="0.3">
      <c r="A17" s="1">
        <v>16</v>
      </c>
      <c r="B17" s="1">
        <v>1</v>
      </c>
      <c r="C17" s="1">
        <v>4</v>
      </c>
      <c r="D17" s="1">
        <v>0</v>
      </c>
      <c r="E17" s="1">
        <v>0</v>
      </c>
      <c r="F17" s="1">
        <f t="shared" si="0"/>
        <v>1</v>
      </c>
      <c r="G17" s="1">
        <f t="shared" si="1"/>
        <v>1</v>
      </c>
      <c r="H17" s="1">
        <f t="shared" si="2"/>
        <v>1</v>
      </c>
      <c r="I17" s="1">
        <f t="shared" si="3"/>
        <v>1</v>
      </c>
      <c r="J17" s="1"/>
      <c r="K17" s="1"/>
    </row>
    <row r="18" spans="1:11" x14ac:dyDescent="0.3">
      <c r="A18" s="1">
        <v>17</v>
      </c>
      <c r="B18" s="1">
        <v>1</v>
      </c>
      <c r="C18" s="1">
        <v>4</v>
      </c>
      <c r="D18" s="1">
        <v>0</v>
      </c>
      <c r="E18" s="1">
        <v>0</v>
      </c>
      <c r="F18" s="1">
        <f t="shared" si="0"/>
        <v>1</v>
      </c>
      <c r="G18" s="1">
        <f t="shared" si="1"/>
        <v>1</v>
      </c>
      <c r="H18" s="1">
        <f t="shared" si="2"/>
        <v>1</v>
      </c>
      <c r="I18" s="1">
        <f t="shared" si="3"/>
        <v>1</v>
      </c>
      <c r="J18" s="1"/>
      <c r="K18" s="1"/>
    </row>
    <row r="19" spans="1:11" x14ac:dyDescent="0.3">
      <c r="A19" s="1">
        <v>18</v>
      </c>
      <c r="B19" s="1">
        <v>1</v>
      </c>
      <c r="C19" s="1">
        <v>6</v>
      </c>
      <c r="D19" s="1">
        <v>0</v>
      </c>
      <c r="E19" s="1">
        <v>0</v>
      </c>
      <c r="F19" s="1">
        <f t="shared" si="0"/>
        <v>1</v>
      </c>
      <c r="G19" s="1">
        <f t="shared" si="1"/>
        <v>1</v>
      </c>
      <c r="H19" s="1">
        <f t="shared" si="2"/>
        <v>1</v>
      </c>
      <c r="I19" s="1">
        <f t="shared" si="3"/>
        <v>1</v>
      </c>
      <c r="J19" s="1"/>
      <c r="K19" s="1"/>
    </row>
    <row r="20" spans="1:11" x14ac:dyDescent="0.3">
      <c r="A20" s="1">
        <v>19</v>
      </c>
      <c r="B20" s="1">
        <v>1</v>
      </c>
      <c r="C20" s="1">
        <v>5</v>
      </c>
      <c r="D20" s="1">
        <v>1</v>
      </c>
      <c r="E20" s="1">
        <v>0</v>
      </c>
      <c r="F20" s="1">
        <f t="shared" si="0"/>
        <v>0.83333333333333337</v>
      </c>
      <c r="G20" s="1">
        <f t="shared" si="1"/>
        <v>1</v>
      </c>
      <c r="H20" s="1">
        <f t="shared" si="2"/>
        <v>0.90909090909090906</v>
      </c>
      <c r="I20" s="1">
        <f t="shared" si="3"/>
        <v>0.83333333333333337</v>
      </c>
      <c r="J20" s="1" t="s">
        <v>67</v>
      </c>
      <c r="K20" s="1"/>
    </row>
    <row r="21" spans="1:11" x14ac:dyDescent="0.3">
      <c r="A21" s="1">
        <v>20</v>
      </c>
      <c r="B21" s="1">
        <v>1</v>
      </c>
      <c r="C21" s="1">
        <v>0</v>
      </c>
      <c r="D21" s="1">
        <v>2</v>
      </c>
      <c r="E21" s="1">
        <v>0</v>
      </c>
      <c r="F21" s="1">
        <f t="shared" si="0"/>
        <v>0</v>
      </c>
      <c r="G21" s="1" t="e">
        <f t="shared" si="1"/>
        <v>#DIV/0!</v>
      </c>
      <c r="H21" s="1" t="e">
        <f t="shared" si="2"/>
        <v>#DIV/0!</v>
      </c>
      <c r="I21" s="1">
        <f t="shared" si="3"/>
        <v>0</v>
      </c>
      <c r="J21" s="1"/>
      <c r="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4F0F-A23E-498E-9926-7D9F91D33D7F}">
  <dimension ref="A1:K21"/>
  <sheetViews>
    <sheetView tabSelected="1" workbookViewId="0">
      <selection activeCell="H9" sqref="H9"/>
    </sheetView>
  </sheetViews>
  <sheetFormatPr defaultRowHeight="14.4" x14ac:dyDescent="0.3"/>
  <cols>
    <col min="10" max="10" width="32" customWidth="1"/>
  </cols>
  <sheetData>
    <row r="1" spans="1:11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</v>
      </c>
      <c r="K1" s="1" t="s">
        <v>2</v>
      </c>
    </row>
    <row r="2" spans="1:11" x14ac:dyDescent="0.3">
      <c r="A2" s="1">
        <v>1</v>
      </c>
      <c r="B2" s="1">
        <v>1</v>
      </c>
      <c r="C2" s="1">
        <v>4</v>
      </c>
      <c r="D2" s="1">
        <v>0</v>
      </c>
      <c r="E2" s="1">
        <v>0</v>
      </c>
      <c r="F2" s="1">
        <f>C2/(C2+D2)</f>
        <v>1</v>
      </c>
      <c r="G2" s="1">
        <f>C2/(C2+E2)</f>
        <v>1</v>
      </c>
      <c r="H2" s="1">
        <f>2*(F2*G2)/(F2+G2)</f>
        <v>1</v>
      </c>
      <c r="I2" s="1">
        <f>C2/(C2+D2+E2)</f>
        <v>1</v>
      </c>
      <c r="J2" s="1"/>
      <c r="K2" s="1"/>
    </row>
    <row r="3" spans="1:11" x14ac:dyDescent="0.3">
      <c r="A3" s="1">
        <v>2</v>
      </c>
      <c r="B3" s="1">
        <v>1</v>
      </c>
      <c r="C3" s="1">
        <v>6</v>
      </c>
      <c r="D3" s="1">
        <v>0</v>
      </c>
      <c r="E3" s="1">
        <v>0</v>
      </c>
      <c r="F3" s="1">
        <f t="shared" ref="F3:F21" si="0">C3/(C3+D3)</f>
        <v>1</v>
      </c>
      <c r="G3" s="1">
        <f t="shared" ref="G3:G21" si="1">C3/(C3+E3)</f>
        <v>1</v>
      </c>
      <c r="H3" s="1">
        <f t="shared" ref="H3:H21" si="2">2*(F3*G3)/(F3+G3)</f>
        <v>1</v>
      </c>
      <c r="I3" s="1">
        <f t="shared" ref="I3:I21" si="3">C3/(C3+D3+E3)</f>
        <v>1</v>
      </c>
      <c r="J3" s="1"/>
      <c r="K3" s="1"/>
    </row>
    <row r="4" spans="1:11" x14ac:dyDescent="0.3">
      <c r="A4" s="1">
        <v>3</v>
      </c>
      <c r="B4" s="1">
        <v>1</v>
      </c>
      <c r="C4" s="1">
        <v>6</v>
      </c>
      <c r="D4" s="1">
        <v>0</v>
      </c>
      <c r="E4" s="1">
        <v>0</v>
      </c>
      <c r="F4" s="1">
        <f t="shared" si="0"/>
        <v>1</v>
      </c>
      <c r="G4" s="1">
        <f t="shared" si="1"/>
        <v>1</v>
      </c>
      <c r="H4" s="1">
        <f t="shared" si="2"/>
        <v>1</v>
      </c>
      <c r="I4" s="1">
        <f t="shared" si="3"/>
        <v>1</v>
      </c>
      <c r="J4" s="1"/>
      <c r="K4" s="1"/>
    </row>
    <row r="5" spans="1:11" x14ac:dyDescent="0.3">
      <c r="A5" s="1">
        <v>4</v>
      </c>
      <c r="B5" s="1">
        <v>1</v>
      </c>
      <c r="C5" s="1">
        <v>2</v>
      </c>
      <c r="D5" s="1">
        <v>0</v>
      </c>
      <c r="E5" s="1">
        <v>0</v>
      </c>
      <c r="F5" s="1">
        <f t="shared" si="0"/>
        <v>1</v>
      </c>
      <c r="G5" s="1">
        <f t="shared" si="1"/>
        <v>1</v>
      </c>
      <c r="H5" s="1">
        <f t="shared" si="2"/>
        <v>1</v>
      </c>
      <c r="I5" s="1">
        <f t="shared" si="3"/>
        <v>1</v>
      </c>
      <c r="J5" s="1"/>
      <c r="K5" s="1"/>
    </row>
    <row r="6" spans="1:11" x14ac:dyDescent="0.3">
      <c r="A6" s="1">
        <v>5</v>
      </c>
      <c r="B6" s="1">
        <v>1</v>
      </c>
      <c r="C6" s="1">
        <v>5</v>
      </c>
      <c r="D6" s="1">
        <v>0</v>
      </c>
      <c r="E6" s="1">
        <v>0</v>
      </c>
      <c r="F6" s="1">
        <f t="shared" si="0"/>
        <v>1</v>
      </c>
      <c r="G6" s="1">
        <f t="shared" si="1"/>
        <v>1</v>
      </c>
      <c r="H6" s="1">
        <f t="shared" si="2"/>
        <v>1</v>
      </c>
      <c r="I6" s="1">
        <f t="shared" si="3"/>
        <v>1</v>
      </c>
      <c r="J6" s="1"/>
      <c r="K6" s="1"/>
    </row>
    <row r="7" spans="1:11" ht="158.4" x14ac:dyDescent="0.3">
      <c r="A7" s="1">
        <v>6</v>
      </c>
      <c r="B7" s="1">
        <v>1</v>
      </c>
      <c r="C7" s="1">
        <v>6</v>
      </c>
      <c r="D7" s="1">
        <v>0</v>
      </c>
      <c r="E7" s="1">
        <v>0</v>
      </c>
      <c r="F7" s="1">
        <f t="shared" si="0"/>
        <v>1</v>
      </c>
      <c r="G7" s="1">
        <f t="shared" si="1"/>
        <v>1</v>
      </c>
      <c r="H7" s="1">
        <f t="shared" si="2"/>
        <v>1</v>
      </c>
      <c r="I7" s="1">
        <f t="shared" si="3"/>
        <v>1</v>
      </c>
      <c r="J7" s="1" t="s">
        <v>68</v>
      </c>
      <c r="K7" s="1"/>
    </row>
    <row r="8" spans="1:11" x14ac:dyDescent="0.3">
      <c r="A8" s="1">
        <v>7</v>
      </c>
      <c r="B8" s="1">
        <v>1</v>
      </c>
      <c r="C8" s="1">
        <v>6</v>
      </c>
      <c r="D8" s="1">
        <v>0</v>
      </c>
      <c r="E8" s="1">
        <v>0</v>
      </c>
      <c r="F8" s="1">
        <f t="shared" si="0"/>
        <v>1</v>
      </c>
      <c r="G8" s="1">
        <f t="shared" si="1"/>
        <v>1</v>
      </c>
      <c r="H8" s="1">
        <f t="shared" si="2"/>
        <v>1</v>
      </c>
      <c r="I8" s="1">
        <f t="shared" si="3"/>
        <v>1</v>
      </c>
      <c r="J8" s="1"/>
      <c r="K8" s="1"/>
    </row>
    <row r="9" spans="1:11" x14ac:dyDescent="0.3">
      <c r="A9" s="1">
        <v>8</v>
      </c>
      <c r="B9" s="1">
        <v>1</v>
      </c>
      <c r="C9" s="1">
        <v>6</v>
      </c>
      <c r="D9" s="1">
        <v>0</v>
      </c>
      <c r="E9" s="1">
        <v>0</v>
      </c>
      <c r="F9" s="1">
        <f t="shared" si="0"/>
        <v>1</v>
      </c>
      <c r="G9" s="1">
        <f t="shared" si="1"/>
        <v>1</v>
      </c>
      <c r="H9" s="1">
        <f t="shared" si="2"/>
        <v>1</v>
      </c>
      <c r="I9" s="1">
        <f t="shared" si="3"/>
        <v>1</v>
      </c>
      <c r="J9" s="1"/>
      <c r="K9" s="1"/>
    </row>
    <row r="10" spans="1:11" x14ac:dyDescent="0.3">
      <c r="A10" s="1">
        <v>9</v>
      </c>
      <c r="B10" s="1">
        <v>1</v>
      </c>
      <c r="C10" s="1">
        <v>6</v>
      </c>
      <c r="D10" s="1">
        <v>0</v>
      </c>
      <c r="E10" s="1">
        <v>0</v>
      </c>
      <c r="F10" s="1">
        <f t="shared" si="0"/>
        <v>1</v>
      </c>
      <c r="G10" s="1">
        <f t="shared" si="1"/>
        <v>1</v>
      </c>
      <c r="H10" s="1">
        <f t="shared" si="2"/>
        <v>1</v>
      </c>
      <c r="I10" s="1">
        <f t="shared" si="3"/>
        <v>1</v>
      </c>
      <c r="J10" s="1"/>
      <c r="K10" s="1"/>
    </row>
    <row r="11" spans="1:11" x14ac:dyDescent="0.3">
      <c r="A11" s="1">
        <v>10</v>
      </c>
      <c r="B11" s="1">
        <v>1</v>
      </c>
      <c r="C11" s="1">
        <v>6</v>
      </c>
      <c r="D11" s="1">
        <v>0</v>
      </c>
      <c r="E11" s="1">
        <v>0</v>
      </c>
      <c r="F11" s="1">
        <f t="shared" si="0"/>
        <v>1</v>
      </c>
      <c r="G11" s="1">
        <f t="shared" si="1"/>
        <v>1</v>
      </c>
      <c r="H11" s="1">
        <f>2*(F11*G11)/(F11+G11)</f>
        <v>1</v>
      </c>
      <c r="I11" s="1">
        <f t="shared" si="3"/>
        <v>1</v>
      </c>
      <c r="J11" s="1"/>
      <c r="K11" s="1"/>
    </row>
    <row r="12" spans="1:11" ht="43.2" x14ac:dyDescent="0.3">
      <c r="A12" s="1">
        <v>11</v>
      </c>
      <c r="B12" s="1">
        <v>0</v>
      </c>
      <c r="C12" s="1">
        <v>27</v>
      </c>
      <c r="D12" s="1">
        <v>0</v>
      </c>
      <c r="E12" s="1">
        <v>0</v>
      </c>
      <c r="F12" s="1">
        <f t="shared" si="0"/>
        <v>1</v>
      </c>
      <c r="G12" s="1">
        <f t="shared" si="1"/>
        <v>1</v>
      </c>
      <c r="H12" s="1">
        <f t="shared" si="2"/>
        <v>1</v>
      </c>
      <c r="I12" s="1">
        <f t="shared" si="3"/>
        <v>1</v>
      </c>
      <c r="J12" s="1" t="s">
        <v>69</v>
      </c>
      <c r="K12" s="1"/>
    </row>
    <row r="13" spans="1:11" ht="43.2" x14ac:dyDescent="0.3">
      <c r="A13" s="1">
        <v>12</v>
      </c>
      <c r="B13" s="1">
        <v>0</v>
      </c>
      <c r="C13" s="1">
        <v>2</v>
      </c>
      <c r="D13" s="1">
        <v>9</v>
      </c>
      <c r="E13" s="1">
        <v>16</v>
      </c>
      <c r="F13" s="1">
        <f t="shared" si="0"/>
        <v>0.18181818181818182</v>
      </c>
      <c r="G13" s="1">
        <f t="shared" si="1"/>
        <v>0.1111111111111111</v>
      </c>
      <c r="H13" s="1">
        <f t="shared" si="2"/>
        <v>0.13793103448275862</v>
      </c>
      <c r="I13" s="1">
        <f t="shared" si="3"/>
        <v>7.407407407407407E-2</v>
      </c>
      <c r="J13" s="1" t="s">
        <v>70</v>
      </c>
      <c r="K13" s="1"/>
    </row>
    <row r="14" spans="1:11" x14ac:dyDescent="0.3">
      <c r="A14" s="1">
        <v>13</v>
      </c>
      <c r="B14" s="1">
        <v>1</v>
      </c>
      <c r="C14" s="1">
        <v>4</v>
      </c>
      <c r="D14" s="1">
        <v>0</v>
      </c>
      <c r="E14" s="1">
        <v>0</v>
      </c>
      <c r="F14" s="1">
        <f t="shared" si="0"/>
        <v>1</v>
      </c>
      <c r="G14" s="1">
        <f t="shared" si="1"/>
        <v>1</v>
      </c>
      <c r="H14" s="1">
        <f t="shared" si="2"/>
        <v>1</v>
      </c>
      <c r="I14" s="1">
        <f t="shared" si="3"/>
        <v>1</v>
      </c>
      <c r="J14" s="1"/>
      <c r="K14" s="1"/>
    </row>
    <row r="15" spans="1:11" ht="86.4" x14ac:dyDescent="0.3">
      <c r="A15" s="1">
        <v>14</v>
      </c>
      <c r="B15" s="1">
        <v>1</v>
      </c>
      <c r="C15" s="1">
        <v>6</v>
      </c>
      <c r="D15" s="1">
        <v>2</v>
      </c>
      <c r="E15" s="1">
        <v>0</v>
      </c>
      <c r="F15" s="1">
        <f t="shared" si="0"/>
        <v>0.75</v>
      </c>
      <c r="G15" s="1">
        <f t="shared" si="1"/>
        <v>1</v>
      </c>
      <c r="H15" s="1">
        <f t="shared" si="2"/>
        <v>0.8571428571428571</v>
      </c>
      <c r="I15" s="1">
        <f t="shared" si="3"/>
        <v>0.75</v>
      </c>
      <c r="J15" s="1" t="s">
        <v>72</v>
      </c>
      <c r="K15" s="1"/>
    </row>
    <row r="16" spans="1:11" x14ac:dyDescent="0.3">
      <c r="A16" s="1">
        <v>15</v>
      </c>
      <c r="B16" s="1">
        <v>1</v>
      </c>
      <c r="C16" s="1">
        <v>3</v>
      </c>
      <c r="D16" s="1">
        <v>0</v>
      </c>
      <c r="E16" s="1">
        <v>0</v>
      </c>
      <c r="F16" s="1">
        <f t="shared" si="0"/>
        <v>1</v>
      </c>
      <c r="G16" s="1">
        <f t="shared" si="1"/>
        <v>1</v>
      </c>
      <c r="H16" s="1">
        <f t="shared" si="2"/>
        <v>1</v>
      </c>
      <c r="I16" s="1">
        <f t="shared" si="3"/>
        <v>1</v>
      </c>
      <c r="J16" s="1"/>
      <c r="K16" s="1"/>
    </row>
    <row r="17" spans="1:11" x14ac:dyDescent="0.3">
      <c r="A17" s="1">
        <v>16</v>
      </c>
      <c r="B17" s="1">
        <v>1</v>
      </c>
      <c r="C17" s="1">
        <v>4</v>
      </c>
      <c r="D17" s="1">
        <v>0</v>
      </c>
      <c r="E17" s="1">
        <v>0</v>
      </c>
      <c r="F17" s="1">
        <f t="shared" si="0"/>
        <v>1</v>
      </c>
      <c r="G17" s="1">
        <f t="shared" si="1"/>
        <v>1</v>
      </c>
      <c r="H17" s="1">
        <f t="shared" si="2"/>
        <v>1</v>
      </c>
      <c r="I17" s="1">
        <f t="shared" si="3"/>
        <v>1</v>
      </c>
      <c r="J17" s="1"/>
      <c r="K17" s="1"/>
    </row>
    <row r="18" spans="1:11" x14ac:dyDescent="0.3">
      <c r="A18" s="1">
        <v>17</v>
      </c>
      <c r="B18" s="1">
        <v>1</v>
      </c>
      <c r="C18" s="1">
        <v>4</v>
      </c>
      <c r="D18" s="1">
        <v>0</v>
      </c>
      <c r="E18" s="1">
        <v>0</v>
      </c>
      <c r="F18" s="1">
        <f t="shared" si="0"/>
        <v>1</v>
      </c>
      <c r="G18" s="1">
        <f t="shared" si="1"/>
        <v>1</v>
      </c>
      <c r="H18" s="1">
        <f t="shared" si="2"/>
        <v>1</v>
      </c>
      <c r="I18" s="1">
        <f t="shared" si="3"/>
        <v>1</v>
      </c>
      <c r="J18" s="1"/>
      <c r="K18" s="1"/>
    </row>
    <row r="19" spans="1:11" x14ac:dyDescent="0.3">
      <c r="A19" s="1">
        <v>18</v>
      </c>
      <c r="B19" s="1">
        <v>1</v>
      </c>
      <c r="C19" s="1">
        <v>6</v>
      </c>
      <c r="D19" s="1">
        <v>0</v>
      </c>
      <c r="E19" s="1">
        <v>0</v>
      </c>
      <c r="F19" s="1">
        <f t="shared" si="0"/>
        <v>1</v>
      </c>
      <c r="G19" s="1">
        <f t="shared" si="1"/>
        <v>1</v>
      </c>
      <c r="H19" s="1">
        <f t="shared" si="2"/>
        <v>1</v>
      </c>
      <c r="I19" s="1">
        <f t="shared" si="3"/>
        <v>1</v>
      </c>
      <c r="J19" s="1"/>
      <c r="K19" s="1"/>
    </row>
    <row r="20" spans="1:11" x14ac:dyDescent="0.3">
      <c r="A20" s="1">
        <v>19</v>
      </c>
      <c r="B20" s="1">
        <v>1</v>
      </c>
      <c r="C20" s="1">
        <v>5</v>
      </c>
      <c r="D20" s="1">
        <v>1</v>
      </c>
      <c r="E20" s="1">
        <v>0</v>
      </c>
      <c r="F20" s="1">
        <f t="shared" si="0"/>
        <v>0.83333333333333337</v>
      </c>
      <c r="G20" s="1">
        <f t="shared" si="1"/>
        <v>1</v>
      </c>
      <c r="H20" s="1">
        <f t="shared" si="2"/>
        <v>0.90909090909090906</v>
      </c>
      <c r="I20" s="1">
        <f t="shared" si="3"/>
        <v>0.83333333333333337</v>
      </c>
      <c r="J20" s="1" t="s">
        <v>73</v>
      </c>
      <c r="K20" s="1"/>
    </row>
    <row r="21" spans="1:11" x14ac:dyDescent="0.3">
      <c r="A21" s="1">
        <v>20</v>
      </c>
      <c r="B21" s="1">
        <v>1</v>
      </c>
      <c r="C21" s="1">
        <v>0</v>
      </c>
      <c r="D21" s="1">
        <v>2</v>
      </c>
      <c r="E21" s="1">
        <v>0</v>
      </c>
      <c r="F21" s="1">
        <f t="shared" si="0"/>
        <v>0</v>
      </c>
      <c r="G21" s="1" t="e">
        <f t="shared" si="1"/>
        <v>#DIV/0!</v>
      </c>
      <c r="H21" s="1" t="e">
        <f t="shared" si="2"/>
        <v>#DIV/0!</v>
      </c>
      <c r="I21" s="1">
        <f t="shared" si="3"/>
        <v>0</v>
      </c>
      <c r="J21" s="1" t="s">
        <v>73</v>
      </c>
      <c r="K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6BD8-6816-4E74-963F-BDE060A398BE}">
  <dimension ref="A1:C21"/>
  <sheetViews>
    <sheetView workbookViewId="0">
      <selection sqref="A1:C2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</row>
    <row r="3" spans="1:3" x14ac:dyDescent="0.3">
      <c r="A3">
        <v>2</v>
      </c>
    </row>
    <row r="4" spans="1:3" x14ac:dyDescent="0.3">
      <c r="A4">
        <v>3</v>
      </c>
    </row>
    <row r="5" spans="1:3" x14ac:dyDescent="0.3">
      <c r="A5">
        <v>4</v>
      </c>
    </row>
    <row r="6" spans="1:3" x14ac:dyDescent="0.3">
      <c r="A6">
        <v>5</v>
      </c>
    </row>
    <row r="7" spans="1:3" x14ac:dyDescent="0.3">
      <c r="A7">
        <v>6</v>
      </c>
    </row>
    <row r="8" spans="1:3" x14ac:dyDescent="0.3">
      <c r="A8">
        <v>7</v>
      </c>
    </row>
    <row r="9" spans="1:3" x14ac:dyDescent="0.3">
      <c r="A9">
        <v>8</v>
      </c>
    </row>
    <row r="10" spans="1:3" x14ac:dyDescent="0.3">
      <c r="A10">
        <v>9</v>
      </c>
    </row>
    <row r="11" spans="1:3" x14ac:dyDescent="0.3">
      <c r="A11">
        <v>10</v>
      </c>
    </row>
    <row r="12" spans="1:3" x14ac:dyDescent="0.3">
      <c r="A12">
        <v>11</v>
      </c>
    </row>
    <row r="13" spans="1:3" x14ac:dyDescent="0.3">
      <c r="A13">
        <v>12</v>
      </c>
    </row>
    <row r="14" spans="1:3" x14ac:dyDescent="0.3">
      <c r="A14">
        <v>13</v>
      </c>
    </row>
    <row r="15" spans="1:3" x14ac:dyDescent="0.3">
      <c r="A15">
        <v>14</v>
      </c>
    </row>
    <row r="16" spans="1:3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2EF6-7376-41B6-8FD5-70762628951E}">
  <dimension ref="A1:C21"/>
  <sheetViews>
    <sheetView workbookViewId="0">
      <selection activeCell="I21" sqref="I2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</row>
    <row r="3" spans="1:3" x14ac:dyDescent="0.3">
      <c r="A3">
        <v>2</v>
      </c>
    </row>
    <row r="4" spans="1:3" x14ac:dyDescent="0.3">
      <c r="A4">
        <v>3</v>
      </c>
    </row>
    <row r="5" spans="1:3" x14ac:dyDescent="0.3">
      <c r="A5">
        <v>4</v>
      </c>
    </row>
    <row r="6" spans="1:3" x14ac:dyDescent="0.3">
      <c r="A6">
        <v>5</v>
      </c>
    </row>
    <row r="7" spans="1:3" x14ac:dyDescent="0.3">
      <c r="A7">
        <v>6</v>
      </c>
    </row>
    <row r="8" spans="1:3" x14ac:dyDescent="0.3">
      <c r="A8">
        <v>7</v>
      </c>
    </row>
    <row r="9" spans="1:3" x14ac:dyDescent="0.3">
      <c r="A9">
        <v>8</v>
      </c>
    </row>
    <row r="10" spans="1:3" x14ac:dyDescent="0.3">
      <c r="A10">
        <v>9</v>
      </c>
    </row>
    <row r="11" spans="1:3" x14ac:dyDescent="0.3">
      <c r="A11">
        <v>10</v>
      </c>
    </row>
    <row r="12" spans="1:3" x14ac:dyDescent="0.3">
      <c r="A12">
        <v>11</v>
      </c>
    </row>
    <row r="13" spans="1:3" x14ac:dyDescent="0.3">
      <c r="A13">
        <v>12</v>
      </c>
    </row>
    <row r="14" spans="1:3" x14ac:dyDescent="0.3">
      <c r="A14">
        <v>13</v>
      </c>
    </row>
    <row r="15" spans="1:3" x14ac:dyDescent="0.3">
      <c r="A15">
        <v>14</v>
      </c>
    </row>
    <row r="16" spans="1:3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text2sparql-A-8B</vt:lpstr>
      <vt:lpstr>text2sparql-AT-8B</vt:lpstr>
      <vt:lpstr>text2sparql-A-70B</vt:lpstr>
      <vt:lpstr>text2sparql-AT-70B</vt:lpstr>
      <vt:lpstr>triple2text-8B</vt:lpstr>
      <vt:lpstr>triple2text-70B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Bhagaskoro</dc:creator>
  <cp:lastModifiedBy>Rama Bhagaskoro</cp:lastModifiedBy>
  <dcterms:created xsi:type="dcterms:W3CDTF">2024-11-05T08:43:00Z</dcterms:created>
  <dcterms:modified xsi:type="dcterms:W3CDTF">2024-11-10T08:33:02Z</dcterms:modified>
</cp:coreProperties>
</file>